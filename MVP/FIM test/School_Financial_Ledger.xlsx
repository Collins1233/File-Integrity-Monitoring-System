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ollinsMawuloloAgble\Desktop\MVP\FIM test\"/>
    </mc:Choice>
  </mc:AlternateContent>
  <xr:revisionPtr revIDLastSave="0" documentId="13_ncr:1_{1B3E986C-6585-4FB2-965F-D9F4C84C4CEF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Financial Summary" sheetId="1" r:id="rId1"/>
    <sheet name="General Ledger" sheetId="2" r:id="rId2"/>
    <sheet name="Budget vs Actu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E9" i="3" s="1"/>
  <c r="C13" i="3"/>
  <c r="E13" i="3" s="1"/>
  <c r="C12" i="3"/>
  <c r="E12" i="3" s="1"/>
  <c r="C11" i="3"/>
  <c r="E11" i="3" s="1"/>
  <c r="C10" i="3"/>
  <c r="E10" i="3" s="1"/>
  <c r="C8" i="3"/>
  <c r="D8" i="3" s="1"/>
  <c r="E7" i="3"/>
  <c r="C7" i="3"/>
  <c r="D7" i="3" s="1"/>
  <c r="C6" i="3"/>
  <c r="E6" i="3" s="1"/>
  <c r="C5" i="3"/>
  <c r="E5" i="3" s="1"/>
  <c r="C4" i="3"/>
  <c r="E4" i="3" s="1"/>
  <c r="I4" i="2"/>
  <c r="I5" i="2" s="1"/>
  <c r="I6" i="2" s="1"/>
  <c r="I7" i="2" s="1"/>
  <c r="I8" i="2" s="1"/>
  <c r="I9" i="2" s="1"/>
  <c r="I10" i="2" s="1"/>
  <c r="I11" i="2" s="1"/>
  <c r="I12" i="2" s="1"/>
  <c r="I13" i="2" s="1"/>
  <c r="I14" i="2" s="1"/>
  <c r="E4" i="1" s="1"/>
  <c r="E14" i="1"/>
  <c r="E13" i="1"/>
  <c r="E12" i="1"/>
  <c r="B12" i="1"/>
  <c r="E11" i="1"/>
  <c r="B11" i="1"/>
  <c r="E10" i="1"/>
  <c r="B10" i="1"/>
  <c r="E9" i="1"/>
  <c r="B9" i="1"/>
  <c r="E3" i="1"/>
  <c r="B3" i="1"/>
  <c r="B4" i="1" s="1"/>
  <c r="E8" i="3" l="1"/>
  <c r="D9" i="3"/>
  <c r="D4" i="3"/>
  <c r="D10" i="3"/>
  <c r="D5" i="3"/>
  <c r="D11" i="3"/>
  <c r="D12" i="3"/>
  <c r="D6" i="3"/>
  <c r="D13" i="3"/>
</calcChain>
</file>

<file path=xl/sharedStrings.xml><?xml version="1.0" encoding="utf-8"?>
<sst xmlns="http://schemas.openxmlformats.org/spreadsheetml/2006/main" count="111" uniqueCount="85">
  <si>
    <t>ST. JUDE ACADEMY - FINANCIAL SUMMARY</t>
  </si>
  <si>
    <t>Total Income:</t>
  </si>
  <si>
    <t>Total Expenses:</t>
  </si>
  <si>
    <t>Net Cash Flow:</t>
  </si>
  <si>
    <t>Current Balance:</t>
  </si>
  <si>
    <t>INCOME BY CATEGORY</t>
  </si>
  <si>
    <t>EXPENSE BY CATEGORY</t>
  </si>
  <si>
    <t>Category</t>
  </si>
  <si>
    <t>Amount</t>
  </si>
  <si>
    <t>Tuition &amp; Fees</t>
  </si>
  <si>
    <t>Salaries &amp; Benefits</t>
  </si>
  <si>
    <t>Extracurricular Fees</t>
  </si>
  <si>
    <t>Facilities &amp; Utilities</t>
  </si>
  <si>
    <t>Donations &amp; Grants</t>
  </si>
  <si>
    <t>Educational Supplies</t>
  </si>
  <si>
    <t>Other Income</t>
  </si>
  <si>
    <t>Technology &amp; IT</t>
  </si>
  <si>
    <t>Administrative Expenses</t>
  </si>
  <si>
    <t>Extracurricular Programs</t>
  </si>
  <si>
    <t>ST. JUDE ACADEMY - GENERAL LEDGER</t>
  </si>
  <si>
    <t>Txn ID</t>
  </si>
  <si>
    <t>Date</t>
  </si>
  <si>
    <t>Sub-Category</t>
  </si>
  <si>
    <t>Description</t>
  </si>
  <si>
    <t>Ref / Student ID</t>
  </si>
  <si>
    <t>Income (Debit)</t>
  </si>
  <si>
    <t>Expense (Credit)</t>
  </si>
  <si>
    <t>Running Balance</t>
  </si>
  <si>
    <t>TXN-1000</t>
  </si>
  <si>
    <t>2026-09-01</t>
  </si>
  <si>
    <t>Opening Balance</t>
  </si>
  <si>
    <t>Beginning Cash Balance</t>
  </si>
  <si>
    <t>TXN-1001</t>
  </si>
  <si>
    <t>Grade 10 Tuition</t>
  </si>
  <si>
    <t>Term 1 Tuition - Alex Johnson</t>
  </si>
  <si>
    <t>STU-8841</t>
  </si>
  <si>
    <t>TXN-1002</t>
  </si>
  <si>
    <t>Grade 8 Tuition</t>
  </si>
  <si>
    <t>Term 1 Tuition - Sarah Smith</t>
  </si>
  <si>
    <t>STU-9022</t>
  </si>
  <si>
    <t>TXN-1003</t>
  </si>
  <si>
    <t>2026-09-02</t>
  </si>
  <si>
    <t>Teaching Staff</t>
  </si>
  <si>
    <t>Bi-Weekly Faculty Payroll</t>
  </si>
  <si>
    <t>PAY-2026-18</t>
  </si>
  <si>
    <t>TXN-1004</t>
  </si>
  <si>
    <t>2026-09-03</t>
  </si>
  <si>
    <t>Electricity</t>
  </si>
  <si>
    <t>Monthly Electric Utility Bill</t>
  </si>
  <si>
    <t>INV-88391</t>
  </si>
  <si>
    <t>TXN-1005</t>
  </si>
  <si>
    <t>2026-09-04</t>
  </si>
  <si>
    <t>Textbooks</t>
  </si>
  <si>
    <t>Science &amp; Math Workbooks</t>
  </si>
  <si>
    <t>PO-2026-041</t>
  </si>
  <si>
    <t>TXN-1006</t>
  </si>
  <si>
    <t>2026-09-05</t>
  </si>
  <si>
    <t>Sports</t>
  </si>
  <si>
    <t>Basketball Team Equipment &amp; Uniforms</t>
  </si>
  <si>
    <t>PO-2026-042</t>
  </si>
  <si>
    <t>TXN-1007</t>
  </si>
  <si>
    <t>2026-09-06</t>
  </si>
  <si>
    <t>Facility Rental</t>
  </si>
  <si>
    <t>Weekend Gymnasium Rental - Local League</t>
  </si>
  <si>
    <t>REC-4410</t>
  </si>
  <si>
    <t>TXN-1008</t>
  </si>
  <si>
    <t>2026-09-07</t>
  </si>
  <si>
    <t>Grade 11 Tuition</t>
  </si>
  <si>
    <t>Term 1 Tuition - Michael Brown</t>
  </si>
  <si>
    <t>STU-7721</t>
  </si>
  <si>
    <t>TXN-1009</t>
  </si>
  <si>
    <t>2026-09-08</t>
  </si>
  <si>
    <t>Software Licenses</t>
  </si>
  <si>
    <t>Annual School Management LMS License</t>
  </si>
  <si>
    <t>INV-22019</t>
  </si>
  <si>
    <t>TXN-1010</t>
  </si>
  <si>
    <t>2026-09-10</t>
  </si>
  <si>
    <t>Office Supplies</t>
  </si>
  <si>
    <t>Printer Paper, Toners &amp; Supplies</t>
  </si>
  <si>
    <t>PO-2026-045</t>
  </si>
  <si>
    <t>ST. JUDE ACADEMY - ANNUAL BUDGET VS ACTUAL</t>
  </si>
  <si>
    <t>Annual Budget</t>
  </si>
  <si>
    <t>YTD Actual</t>
  </si>
  <si>
    <t>Variance</t>
  </si>
  <si>
    <t>% Used / Achieved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</si>
</sst>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E75B6"/>
        <bgColor rgb="FF2E75B6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/>
    <xf numFmtId="164" fontId="3" fillId="0" borderId="1" xfId="0" applyNumberFormat="1" applyFont="1" applyBorder="1"/>
    <xf numFmtId="0" fontId="3" fillId="0" borderId="0" xfId="0" applyFont="1"/>
    <xf numFmtId="0" fontId="4" fillId="0" borderId="1" xfId="0" applyFont="1" applyBorder="1"/>
    <xf numFmtId="164" fontId="4" fillId="0" borderId="1" xfId="0" applyNumberFormat="1" applyFont="1" applyBorder="1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164" fontId="4" fillId="4" borderId="1" xfId="0" applyNumberFormat="1" applyFont="1" applyFill="1" applyBorder="1"/>
    <xf numFmtId="165" fontId="4" fillId="0" borderId="1" xfId="0" applyNumberFormat="1" applyFont="1" applyBorder="1"/>
    <xf numFmtId="0" fontId="2" fillId="3" borderId="0" xfId="0" applyFont="1" applyFill="1" applyAlignment="1">
      <alignment horizontal="left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/>
  </sheetViews>
  <sheetFormatPr defaultRowHeight="14.4" x14ac:dyDescent="0.3"/>
  <cols>
    <col min="1" max="1" width="26" customWidth="1"/>
    <col min="2" max="2" width="18" customWidth="1"/>
    <col min="3" max="3" width="5" customWidth="1"/>
    <col min="4" max="4" width="26" customWidth="1"/>
    <col min="5" max="5" width="18" customWidth="1"/>
    <col min="6" max="6" width="5" customWidth="1"/>
  </cols>
  <sheetData>
    <row r="1" spans="1:6" ht="30" customHeight="1" x14ac:dyDescent="0.3">
      <c r="A1" s="15" t="s">
        <v>0</v>
      </c>
      <c r="B1" s="14"/>
      <c r="C1" s="14"/>
      <c r="D1" s="14"/>
      <c r="E1" s="14"/>
      <c r="F1" s="14"/>
    </row>
    <row r="3" spans="1:6" x14ac:dyDescent="0.3">
      <c r="A3" s="1" t="s">
        <v>1</v>
      </c>
      <c r="B3" s="2">
        <f>SUM('General Ledger'!G5:G100)</f>
        <v>4200</v>
      </c>
      <c r="D3" s="1" t="s">
        <v>2</v>
      </c>
      <c r="E3" s="2">
        <f>SUM('General Ledger'!H5:H100)</f>
        <v>23220</v>
      </c>
    </row>
    <row r="4" spans="1:6" x14ac:dyDescent="0.3">
      <c r="A4" s="1" t="s">
        <v>3</v>
      </c>
      <c r="B4" s="2">
        <f>B3-E3</f>
        <v>-19020</v>
      </c>
      <c r="D4" s="1" t="s">
        <v>4</v>
      </c>
      <c r="E4" s="2">
        <f>'General Ledger'!I14</f>
        <v>30980</v>
      </c>
    </row>
    <row r="7" spans="1:6" x14ac:dyDescent="0.3">
      <c r="A7" s="13" t="s">
        <v>5</v>
      </c>
      <c r="B7" s="14"/>
      <c r="C7" s="14"/>
      <c r="D7" s="13" t="s">
        <v>6</v>
      </c>
      <c r="E7" s="14"/>
      <c r="F7" s="14"/>
    </row>
    <row r="8" spans="1:6" x14ac:dyDescent="0.3">
      <c r="A8" s="3" t="s">
        <v>7</v>
      </c>
      <c r="B8" s="3" t="s">
        <v>8</v>
      </c>
      <c r="D8" s="3" t="s">
        <v>7</v>
      </c>
      <c r="E8" s="3" t="s">
        <v>8</v>
      </c>
    </row>
    <row r="9" spans="1:6" x14ac:dyDescent="0.3">
      <c r="A9" s="4" t="s">
        <v>9</v>
      </c>
      <c r="B9" s="5">
        <f>SUMIF('General Ledger'!C:C, "Tuition &amp; Fees", 'General Ledger'!G:G)</f>
        <v>3550</v>
      </c>
      <c r="D9" s="4" t="s">
        <v>10</v>
      </c>
      <c r="E9" s="5">
        <f>SUMIF('General Ledger'!C:C, "Salaries &amp; Benefits", 'General Ledger'!H:H)</f>
        <v>14500</v>
      </c>
    </row>
    <row r="10" spans="1:6" x14ac:dyDescent="0.3">
      <c r="A10" s="4" t="s">
        <v>11</v>
      </c>
      <c r="B10" s="5">
        <f>SUMIF('General Ledger'!C:C, "Extracurricular Fees", 'General Ledger'!G:G)</f>
        <v>0</v>
      </c>
      <c r="D10" s="4" t="s">
        <v>12</v>
      </c>
      <c r="E10" s="5">
        <f>SUMIF('General Ledger'!C:C, "Facilities &amp; Utilities", 'General Ledger'!H:H)</f>
        <v>1250</v>
      </c>
    </row>
    <row r="11" spans="1:6" x14ac:dyDescent="0.3">
      <c r="A11" s="4" t="s">
        <v>13</v>
      </c>
      <c r="B11" s="5">
        <f>SUMIF('General Ledger'!C:C, "Donations &amp; Grants", 'General Ledger'!G:G)</f>
        <v>0</v>
      </c>
      <c r="D11" s="4" t="s">
        <v>14</v>
      </c>
      <c r="E11" s="5">
        <f>SUMIF('General Ledger'!C:C, "Educational Supplies", 'General Ledger'!H:H)</f>
        <v>3400</v>
      </c>
    </row>
    <row r="12" spans="1:6" x14ac:dyDescent="0.3">
      <c r="A12" s="4" t="s">
        <v>15</v>
      </c>
      <c r="B12" s="5">
        <f>SUMIF('General Ledger'!C:C, "Other Income", 'General Ledger'!G:G)</f>
        <v>650</v>
      </c>
      <c r="D12" s="4" t="s">
        <v>16</v>
      </c>
      <c r="E12" s="5">
        <f>SUMIF('General Ledger'!C:C, "Technology &amp; IT", 'General Ledger'!H:H)</f>
        <v>2800</v>
      </c>
    </row>
    <row r="13" spans="1:6" x14ac:dyDescent="0.3">
      <c r="D13" s="4" t="s">
        <v>17</v>
      </c>
      <c r="E13" s="5">
        <f>SUMIF('General Ledger'!C:C, "Administrative Expenses", 'General Ledger'!H:H)</f>
        <v>420</v>
      </c>
    </row>
    <row r="14" spans="1:6" x14ac:dyDescent="0.3">
      <c r="D14" s="4" t="s">
        <v>18</v>
      </c>
      <c r="E14" s="5">
        <f>SUMIF('General Ledger'!C:C, "Extracurricular Programs", 'General Ledger'!H:H)</f>
        <v>850</v>
      </c>
    </row>
  </sheetData>
  <mergeCells count="3">
    <mergeCell ref="D7:F7"/>
    <mergeCell ref="A7:C7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/>
  </sheetViews>
  <sheetFormatPr defaultRowHeight="14.4" x14ac:dyDescent="0.3"/>
  <cols>
    <col min="1" max="1" width="12" customWidth="1"/>
    <col min="2" max="2" width="14" customWidth="1"/>
    <col min="3" max="3" width="24" customWidth="1"/>
    <col min="4" max="4" width="22" customWidth="1"/>
    <col min="5" max="5" width="35" customWidth="1"/>
    <col min="6" max="6" width="18" customWidth="1"/>
    <col min="7" max="8" width="16" customWidth="1"/>
    <col min="9" max="9" width="18" customWidth="1"/>
  </cols>
  <sheetData>
    <row r="1" spans="1:9" ht="30" customHeight="1" x14ac:dyDescent="0.3">
      <c r="A1" s="15" t="s">
        <v>19</v>
      </c>
      <c r="B1" s="14"/>
      <c r="C1" s="14"/>
      <c r="D1" s="14"/>
      <c r="E1" s="14"/>
      <c r="F1" s="14"/>
      <c r="G1" s="14"/>
      <c r="H1" s="14"/>
      <c r="I1" s="14"/>
    </row>
    <row r="3" spans="1:9" ht="24" customHeight="1" x14ac:dyDescent="0.3">
      <c r="A3" s="6" t="s">
        <v>20</v>
      </c>
      <c r="B3" s="6" t="s">
        <v>21</v>
      </c>
      <c r="C3" s="6" t="s">
        <v>7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</row>
    <row r="4" spans="1:9" x14ac:dyDescent="0.3">
      <c r="A4" s="7" t="s">
        <v>28</v>
      </c>
      <c r="B4" s="7" t="s">
        <v>29</v>
      </c>
      <c r="C4" s="1" t="s">
        <v>30</v>
      </c>
      <c r="D4" s="1"/>
      <c r="E4" s="1" t="s">
        <v>31</v>
      </c>
      <c r="F4" s="1"/>
      <c r="G4" s="2">
        <v>50000</v>
      </c>
      <c r="H4" s="2">
        <v>0</v>
      </c>
      <c r="I4" s="2">
        <f>G4-H4</f>
        <v>50000</v>
      </c>
    </row>
    <row r="5" spans="1:9" ht="19.95" customHeight="1" x14ac:dyDescent="0.3">
      <c r="A5" s="8" t="s">
        <v>32</v>
      </c>
      <c r="B5" s="8" t="s">
        <v>29</v>
      </c>
      <c r="C5" s="4" t="s">
        <v>9</v>
      </c>
      <c r="D5" s="4" t="s">
        <v>33</v>
      </c>
      <c r="E5" s="4" t="s">
        <v>34</v>
      </c>
      <c r="F5" s="8" t="s">
        <v>35</v>
      </c>
      <c r="G5" s="5">
        <v>1200</v>
      </c>
      <c r="H5" s="5">
        <v>0</v>
      </c>
      <c r="I5" s="5">
        <f t="shared" ref="I5:I14" si="0">I4+G5-H5</f>
        <v>51200</v>
      </c>
    </row>
    <row r="6" spans="1:9" ht="19.95" customHeight="1" x14ac:dyDescent="0.3">
      <c r="A6" s="9" t="s">
        <v>36</v>
      </c>
      <c r="B6" s="9" t="s">
        <v>29</v>
      </c>
      <c r="C6" s="10" t="s">
        <v>9</v>
      </c>
      <c r="D6" s="10" t="s">
        <v>37</v>
      </c>
      <c r="E6" s="10" t="s">
        <v>38</v>
      </c>
      <c r="F6" s="9" t="s">
        <v>39</v>
      </c>
      <c r="G6" s="11">
        <v>1100</v>
      </c>
      <c r="H6" s="11">
        <v>0</v>
      </c>
      <c r="I6" s="11">
        <f t="shared" si="0"/>
        <v>52300</v>
      </c>
    </row>
    <row r="7" spans="1:9" ht="19.95" customHeight="1" x14ac:dyDescent="0.3">
      <c r="A7" s="8" t="s">
        <v>40</v>
      </c>
      <c r="B7" s="8" t="s">
        <v>41</v>
      </c>
      <c r="C7" s="4" t="s">
        <v>10</v>
      </c>
      <c r="D7" s="4" t="s">
        <v>42</v>
      </c>
      <c r="E7" s="4" t="s">
        <v>43</v>
      </c>
      <c r="F7" s="8" t="s">
        <v>44</v>
      </c>
      <c r="G7" s="5">
        <v>0</v>
      </c>
      <c r="H7" s="5">
        <v>14500</v>
      </c>
      <c r="I7" s="5">
        <f t="shared" si="0"/>
        <v>37800</v>
      </c>
    </row>
    <row r="8" spans="1:9" ht="19.95" customHeight="1" x14ac:dyDescent="0.3">
      <c r="A8" s="9" t="s">
        <v>45</v>
      </c>
      <c r="B8" s="9" t="s">
        <v>46</v>
      </c>
      <c r="C8" s="10" t="s">
        <v>12</v>
      </c>
      <c r="D8" s="10" t="s">
        <v>47</v>
      </c>
      <c r="E8" s="10" t="s">
        <v>48</v>
      </c>
      <c r="F8" s="9" t="s">
        <v>49</v>
      </c>
      <c r="G8" s="11">
        <v>0</v>
      </c>
      <c r="H8" s="11">
        <v>1250</v>
      </c>
      <c r="I8" s="11">
        <f t="shared" si="0"/>
        <v>36550</v>
      </c>
    </row>
    <row r="9" spans="1:9" ht="19.95" customHeight="1" x14ac:dyDescent="0.3">
      <c r="A9" s="8" t="s">
        <v>50</v>
      </c>
      <c r="B9" s="8" t="s">
        <v>51</v>
      </c>
      <c r="C9" s="4" t="s">
        <v>14</v>
      </c>
      <c r="D9" s="4" t="s">
        <v>52</v>
      </c>
      <c r="E9" s="4" t="s">
        <v>53</v>
      </c>
      <c r="F9" s="8" t="s">
        <v>54</v>
      </c>
      <c r="G9" s="5">
        <v>0</v>
      </c>
      <c r="H9" s="5">
        <v>3400</v>
      </c>
      <c r="I9" s="5">
        <f t="shared" si="0"/>
        <v>33150</v>
      </c>
    </row>
    <row r="10" spans="1:9" ht="19.95" customHeight="1" x14ac:dyDescent="0.3">
      <c r="A10" s="9" t="s">
        <v>55</v>
      </c>
      <c r="B10" s="9" t="s">
        <v>56</v>
      </c>
      <c r="C10" s="10" t="s">
        <v>18</v>
      </c>
      <c r="D10" s="10" t="s">
        <v>57</v>
      </c>
      <c r="E10" s="10" t="s">
        <v>58</v>
      </c>
      <c r="F10" s="9" t="s">
        <v>59</v>
      </c>
      <c r="G10" s="11">
        <v>0</v>
      </c>
      <c r="H10" s="11">
        <v>850</v>
      </c>
      <c r="I10" s="11">
        <f t="shared" si="0"/>
        <v>32300</v>
      </c>
    </row>
    <row r="11" spans="1:9" ht="19.95" customHeight="1" x14ac:dyDescent="0.3">
      <c r="A11" s="8" t="s">
        <v>60</v>
      </c>
      <c r="B11" s="8" t="s">
        <v>61</v>
      </c>
      <c r="C11" s="4" t="s">
        <v>15</v>
      </c>
      <c r="D11" s="4" t="s">
        <v>62</v>
      </c>
      <c r="E11" s="4" t="s">
        <v>63</v>
      </c>
      <c r="F11" s="8" t="s">
        <v>64</v>
      </c>
      <c r="G11" s="5">
        <v>650</v>
      </c>
      <c r="H11" s="5">
        <v>0</v>
      </c>
      <c r="I11" s="5">
        <f t="shared" si="0"/>
        <v>32950</v>
      </c>
    </row>
    <row r="12" spans="1:9" ht="19.95" customHeight="1" x14ac:dyDescent="0.3">
      <c r="A12" s="9" t="s">
        <v>65</v>
      </c>
      <c r="B12" s="9" t="s">
        <v>66</v>
      </c>
      <c r="C12" s="10" t="s">
        <v>9</v>
      </c>
      <c r="D12" s="10" t="s">
        <v>67</v>
      </c>
      <c r="E12" s="10" t="s">
        <v>68</v>
      </c>
      <c r="F12" s="9" t="s">
        <v>69</v>
      </c>
      <c r="G12" s="11">
        <v>1250</v>
      </c>
      <c r="H12" s="11">
        <v>0</v>
      </c>
      <c r="I12" s="11">
        <f t="shared" si="0"/>
        <v>34200</v>
      </c>
    </row>
    <row r="13" spans="1:9" ht="19.95" customHeight="1" x14ac:dyDescent="0.3">
      <c r="A13" s="8" t="s">
        <v>70</v>
      </c>
      <c r="B13" s="8" t="s">
        <v>71</v>
      </c>
      <c r="C13" s="4" t="s">
        <v>16</v>
      </c>
      <c r="D13" s="4" t="s">
        <v>72</v>
      </c>
      <c r="E13" s="4" t="s">
        <v>73</v>
      </c>
      <c r="F13" s="8" t="s">
        <v>74</v>
      </c>
      <c r="G13" s="5">
        <v>0</v>
      </c>
      <c r="H13" s="5">
        <v>2800</v>
      </c>
      <c r="I13" s="5">
        <f t="shared" si="0"/>
        <v>31400</v>
      </c>
    </row>
    <row r="14" spans="1:9" ht="19.95" customHeight="1" x14ac:dyDescent="0.3">
      <c r="A14" s="9" t="s">
        <v>75</v>
      </c>
      <c r="B14" s="9" t="s">
        <v>76</v>
      </c>
      <c r="C14" s="10" t="s">
        <v>17</v>
      </c>
      <c r="D14" s="10" t="s">
        <v>77</v>
      </c>
      <c r="E14" s="10" t="s">
        <v>78</v>
      </c>
      <c r="F14" s="9" t="s">
        <v>79</v>
      </c>
      <c r="G14" s="11">
        <v>0</v>
      </c>
      <c r="H14" s="11">
        <v>420</v>
      </c>
      <c r="I14" s="11">
        <f t="shared" si="0"/>
        <v>30980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tabSelected="1" workbookViewId="0">
      <selection activeCell="D13" sqref="D13"/>
    </sheetView>
  </sheetViews>
  <sheetFormatPr defaultRowHeight="14.4" x14ac:dyDescent="0.3"/>
  <cols>
    <col min="1" max="1" width="28" customWidth="1"/>
    <col min="2" max="5" width="18" customWidth="1"/>
  </cols>
  <sheetData>
    <row r="1" spans="1:5" ht="30" customHeight="1" x14ac:dyDescent="0.3">
      <c r="A1" s="15" t="s">
        <v>80</v>
      </c>
      <c r="B1" s="14"/>
      <c r="C1" s="14"/>
      <c r="D1" s="14"/>
      <c r="E1" s="14"/>
    </row>
    <row r="3" spans="1:5" ht="24" customHeight="1" x14ac:dyDescent="0.3">
      <c r="A3" s="6" t="s">
        <v>7</v>
      </c>
      <c r="B3" s="6" t="s">
        <v>81</v>
      </c>
      <c r="C3" s="6" t="s">
        <v>82</v>
      </c>
      <c r="D3" s="6" t="s">
        <v>83</v>
      </c>
      <c r="E3" s="6" t="s">
        <v>84</v>
      </c>
    </row>
    <row r="4" spans="1:5" ht="19.95" customHeight="1" x14ac:dyDescent="0.3">
      <c r="A4" s="4" t="s">
        <v>9</v>
      </c>
      <c r="B4" s="5">
        <v>450000</v>
      </c>
      <c r="C4" s="5">
        <f>SUMIF('General Ledger'!C:C, A4, 'General Ledger'!G:G)</f>
        <v>3550</v>
      </c>
      <c r="D4" s="5">
        <f t="shared" ref="D4:D13" si="0">B4-C4</f>
        <v>446450</v>
      </c>
      <c r="E4" s="12">
        <f t="shared" ref="E4:E13" si="1">C4/B4</f>
        <v>7.8888888888888897E-3</v>
      </c>
    </row>
    <row r="5" spans="1:5" ht="19.95" customHeight="1" x14ac:dyDescent="0.3">
      <c r="A5" s="4" t="s">
        <v>11</v>
      </c>
      <c r="B5" s="5">
        <v>35000</v>
      </c>
      <c r="C5" s="5">
        <f>SUMIF('General Ledger'!C:C, A5, 'General Ledger'!G:G)</f>
        <v>0</v>
      </c>
      <c r="D5" s="5">
        <f t="shared" si="0"/>
        <v>35000</v>
      </c>
      <c r="E5" s="12">
        <f t="shared" si="1"/>
        <v>0</v>
      </c>
    </row>
    <row r="6" spans="1:5" ht="19.95" customHeight="1" x14ac:dyDescent="0.3">
      <c r="A6" s="4" t="s">
        <v>13</v>
      </c>
      <c r="B6" s="5">
        <v>25000</v>
      </c>
      <c r="C6" s="5">
        <f>SUMIF('General Ledger'!C:C, A6, 'General Ledger'!G:G)</f>
        <v>0</v>
      </c>
      <c r="D6" s="5">
        <f t="shared" si="0"/>
        <v>25000</v>
      </c>
      <c r="E6" s="12">
        <f t="shared" si="1"/>
        <v>0</v>
      </c>
    </row>
    <row r="7" spans="1:5" ht="19.95" customHeight="1" x14ac:dyDescent="0.3">
      <c r="A7" s="4" t="s">
        <v>15</v>
      </c>
      <c r="B7" s="5">
        <v>15000</v>
      </c>
      <c r="C7" s="5">
        <f>SUMIF('General Ledger'!C:C, A7, 'General Ledger'!G:G)</f>
        <v>650</v>
      </c>
      <c r="D7" s="5">
        <f t="shared" si="0"/>
        <v>14350</v>
      </c>
      <c r="E7" s="12">
        <f t="shared" si="1"/>
        <v>4.3333333333333335E-2</v>
      </c>
    </row>
    <row r="8" spans="1:5" ht="19.95" customHeight="1" x14ac:dyDescent="0.3">
      <c r="A8" s="4" t="s">
        <v>10</v>
      </c>
      <c r="B8" s="5">
        <v>320000</v>
      </c>
      <c r="C8" s="5">
        <f>SUMIF('General Ledger'!C:C, A8, 'General Ledger'!H:H)</f>
        <v>14500</v>
      </c>
      <c r="D8" s="5">
        <f t="shared" si="0"/>
        <v>305500</v>
      </c>
      <c r="E8" s="12">
        <f t="shared" si="1"/>
        <v>4.5312499999999999E-2</v>
      </c>
    </row>
    <row r="9" spans="1:5" ht="19.95" customHeight="1" x14ac:dyDescent="0.3">
      <c r="A9" s="4" t="s">
        <v>12</v>
      </c>
      <c r="B9" s="5">
        <v>45000</v>
      </c>
      <c r="C9" s="5">
        <f>D20</f>
        <v>0</v>
      </c>
      <c r="D9" s="5">
        <f t="shared" si="0"/>
        <v>45000</v>
      </c>
      <c r="E9" s="12">
        <f t="shared" si="1"/>
        <v>0</v>
      </c>
    </row>
    <row r="10" spans="1:5" ht="19.95" customHeight="1" x14ac:dyDescent="0.3">
      <c r="A10" s="4" t="s">
        <v>14</v>
      </c>
      <c r="B10" s="5">
        <v>30000</v>
      </c>
      <c r="C10" s="5">
        <f>SUMIF('General Ledger'!C:C, A10, 'General Ledger'!H:H)</f>
        <v>3400</v>
      </c>
      <c r="D10" s="5">
        <f t="shared" si="0"/>
        <v>26600</v>
      </c>
      <c r="E10" s="12">
        <f t="shared" si="1"/>
        <v>0.11333333333333333</v>
      </c>
    </row>
    <row r="11" spans="1:5" ht="19.95" customHeight="1" x14ac:dyDescent="0.3">
      <c r="A11" s="4" t="s">
        <v>16</v>
      </c>
      <c r="B11" s="5">
        <v>25000</v>
      </c>
      <c r="C11" s="5">
        <f>SUMIF('General Ledger'!C:C, A11, 'General Ledger'!H:H)</f>
        <v>2800</v>
      </c>
      <c r="D11" s="5">
        <f t="shared" si="0"/>
        <v>22200</v>
      </c>
      <c r="E11" s="12">
        <f t="shared" si="1"/>
        <v>0.112</v>
      </c>
    </row>
    <row r="12" spans="1:5" ht="19.95" customHeight="1" x14ac:dyDescent="0.3">
      <c r="A12" s="4" t="s">
        <v>17</v>
      </c>
      <c r="B12" s="5">
        <v>15000</v>
      </c>
      <c r="C12" s="5">
        <f>SUMIF('General Ledger'!C:C, A12, 'General Ledger'!H:H)</f>
        <v>420</v>
      </c>
      <c r="D12" s="5">
        <f t="shared" si="0"/>
        <v>14580</v>
      </c>
      <c r="E12" s="12">
        <f t="shared" si="1"/>
        <v>2.8000000000000001E-2</v>
      </c>
    </row>
    <row r="13" spans="1:5" ht="19.95" customHeight="1" x14ac:dyDescent="0.3">
      <c r="A13" s="4" t="s">
        <v>18</v>
      </c>
      <c r="B13" s="5">
        <v>25000</v>
      </c>
      <c r="C13" s="5">
        <f>SUMIF('General Ledger'!C:C, A13, 'General Ledger'!H:H)</f>
        <v>850</v>
      </c>
      <c r="D13" s="5">
        <f t="shared" si="0"/>
        <v>24150</v>
      </c>
      <c r="E13" s="12">
        <f t="shared" si="1"/>
        <v>3.4000000000000002E-2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Summary</vt:lpstr>
      <vt:lpstr>General Ledger</vt:lpstr>
      <vt:lpstr>Budget vs 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Collins  Mawulolo Agbledzorwu</cp:lastModifiedBy>
  <dcterms:created xsi:type="dcterms:W3CDTF">2026-08-03T10:28:32Z</dcterms:created>
  <dcterms:modified xsi:type="dcterms:W3CDTF">2026-08-03T10:32:26Z</dcterms:modified>
</cp:coreProperties>
</file>